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https://alunosipca-my.sharepoint.com/personal/a27975_alunos_ipca_pt/Documents/Folder Share the Works/2ºAno/1ºS/Projects 2A 1S/PES/Etapa 2/"/>
    </mc:Choice>
  </mc:AlternateContent>
  <xr:revisionPtr revIDLastSave="88" documentId="11_AD4DF034E34935FBC521DC0CC79A7A8E5ADEDD8F" xr6:coauthVersionLast="47" xr6:coauthVersionMax="47" xr10:uidLastSave="{7918285B-1643-4A0B-B0EC-BACD562A9865}"/>
  <bookViews>
    <workbookView xWindow="-108" yWindow="-108" windowWidth="23256" windowHeight="14616" xr2:uid="{00000000-000D-0000-FFFF-FFFF00000000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H20" i="1"/>
  <c r="I5" i="1"/>
  <c r="I4" i="1"/>
  <c r="G14" i="1"/>
  <c r="E14" i="1"/>
  <c r="F14" i="1" s="1"/>
  <c r="G13" i="1"/>
  <c r="E13" i="1"/>
  <c r="F13" i="1" s="1"/>
  <c r="G12" i="1"/>
  <c r="E12" i="1"/>
  <c r="F12" i="1" s="1"/>
  <c r="G11" i="1"/>
  <c r="E11" i="1"/>
  <c r="F11" i="1" s="1"/>
  <c r="G10" i="1"/>
  <c r="E10" i="1"/>
  <c r="F10" i="1" s="1"/>
  <c r="G9" i="1"/>
  <c r="E9" i="1"/>
  <c r="F9" i="1" s="1"/>
  <c r="G8" i="1"/>
  <c r="E8" i="1"/>
  <c r="F8" i="1" s="1"/>
  <c r="G7" i="1"/>
  <c r="E7" i="1"/>
  <c r="F7" i="1" s="1"/>
  <c r="G6" i="1"/>
  <c r="E6" i="1"/>
  <c r="F6" i="1" s="1"/>
  <c r="G5" i="1"/>
  <c r="E5" i="1"/>
  <c r="F5" i="1" s="1"/>
  <c r="G4" i="1"/>
  <c r="G17" i="1" l="1"/>
  <c r="F16" i="1"/>
  <c r="H7" i="1"/>
  <c r="H12" i="1"/>
  <c r="H13" i="1"/>
  <c r="H6" i="1"/>
  <c r="H9" i="1"/>
  <c r="H11" i="1"/>
  <c r="H14" i="1"/>
  <c r="H10" i="1"/>
  <c r="H5" i="1"/>
  <c r="H8" i="1"/>
  <c r="H4" i="1"/>
  <c r="H18" i="1" l="1"/>
  <c r="I6" i="1"/>
  <c r="I7" i="1" s="1"/>
  <c r="I8" i="1" s="1"/>
  <c r="I9" i="1" s="1"/>
  <c r="I10" i="1" s="1"/>
  <c r="I11" i="1" s="1"/>
  <c r="I12" i="1" s="1"/>
  <c r="I13" i="1" s="1"/>
  <c r="I14" i="1" s="1"/>
</calcChain>
</file>

<file path=xl/sharedStrings.xml><?xml version="1.0" encoding="utf-8"?>
<sst xmlns="http://schemas.openxmlformats.org/spreadsheetml/2006/main" count="19" uniqueCount="19">
  <si>
    <t>Taxa</t>
  </si>
  <si>
    <t>Anos</t>
  </si>
  <si>
    <t>Investimento</t>
  </si>
  <si>
    <t>Custos anuais (a)</t>
  </si>
  <si>
    <t>Proveitos (b)</t>
  </si>
  <si>
    <t>soma cashflows (a)+(b)</t>
  </si>
  <si>
    <t>Valor atual cash flows</t>
  </si>
  <si>
    <t>Valor atual do investimento</t>
  </si>
  <si>
    <t>Valor atual cash flows + investimento</t>
  </si>
  <si>
    <t>Valor atualizado dos cash flows</t>
  </si>
  <si>
    <t>Valor atualizado do investimento</t>
  </si>
  <si>
    <t>VAL do projeto</t>
  </si>
  <si>
    <t>ROI</t>
  </si>
  <si>
    <t>i1</t>
  </si>
  <si>
    <t>VAL1</t>
  </si>
  <si>
    <t>i2</t>
  </si>
  <si>
    <t>VAL2</t>
  </si>
  <si>
    <t>Somatório do valor atual dos cashflow + investimento</t>
  </si>
  <si>
    <t>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</si>
</sst>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/>
    <xf numFmtId="3" fontId="2" fillId="3" borderId="1" xfId="0" applyNumberFormat="1" applyFont="1" applyFill="1" applyBorder="1"/>
    <xf numFmtId="3" fontId="3" fillId="4" borderId="1" xfId="0" applyNumberFormat="1" applyFont="1" applyFill="1" applyBorder="1"/>
    <xf numFmtId="3" fontId="2" fillId="5" borderId="1" xfId="0" applyNumberFormat="1" applyFont="1" applyFill="1" applyBorder="1"/>
    <xf numFmtId="3" fontId="2" fillId="0" borderId="0" xfId="0" applyNumberFormat="1" applyFont="1"/>
    <xf numFmtId="0" fontId="2" fillId="3" borderId="0" xfId="0" applyFont="1" applyFill="1"/>
    <xf numFmtId="3" fontId="4" fillId="3" borderId="0" xfId="0" applyNumberFormat="1" applyFont="1" applyFill="1"/>
    <xf numFmtId="0" fontId="2" fillId="4" borderId="0" xfId="0" applyFont="1" applyFill="1"/>
    <xf numFmtId="3" fontId="4" fillId="4" borderId="0" xfId="0" applyNumberFormat="1" applyFont="1" applyFill="1"/>
    <xf numFmtId="0" fontId="4" fillId="5" borderId="0" xfId="0" applyFont="1" applyFill="1"/>
    <xf numFmtId="3" fontId="4" fillId="5" borderId="0" xfId="0" applyNumberFormat="1" applyFont="1" applyFill="1"/>
    <xf numFmtId="0" fontId="2" fillId="5" borderId="0" xfId="0" applyFont="1" applyFill="1"/>
    <xf numFmtId="164" fontId="4" fillId="5" borderId="0" xfId="0" applyNumberFormat="1" applyFont="1" applyFill="1"/>
    <xf numFmtId="10" fontId="2" fillId="0" borderId="0" xfId="1" applyNumberFormat="1" applyFont="1"/>
    <xf numFmtId="0" fontId="2" fillId="0" borderId="0" xfId="0" applyFont="1" applyAlignment="1">
      <alignment horizontal="right"/>
    </xf>
    <xf numFmtId="9" fontId="2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right"/>
    </xf>
    <xf numFmtId="9" fontId="5" fillId="0" borderId="0" xfId="0" applyNumberFormat="1" applyFont="1"/>
    <xf numFmtId="0" fontId="2" fillId="0" borderId="0" xfId="0" applyFont="1" applyAlignment="1">
      <alignment wrapText="1"/>
    </xf>
    <xf numFmtId="9" fontId="0" fillId="0" borderId="0" xfId="0" applyNumberFormat="1"/>
  </cellXfs>
  <cellStyles count="2">
    <cellStyle name="Normal" xfId="0" builtinId="0"/>
    <cellStyle name="Pe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409222</xdr:colOff>
      <xdr:row>21</xdr:row>
      <xdr:rowOff>88975</xdr:rowOff>
    </xdr:from>
    <xdr:to>
      <xdr:col>7</xdr:col>
      <xdr:colOff>128975</xdr:colOff>
      <xdr:row>28</xdr:row>
      <xdr:rowOff>71577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548E2E2-FC8E-4231-A4C3-51835913C0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49758"/>
        <a:stretch/>
      </xdr:blipFill>
      <xdr:spPr>
        <a:xfrm>
          <a:off x="409222" y="4356175"/>
          <a:ext cx="4573693" cy="126276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tabSelected="1" zoomScaleNormal="100" workbookViewId="0">
      <selection activeCell="H30" sqref="H30"/>
    </sheetView>
  </sheetViews>
  <sheetFormatPr defaultRowHeight="14.4" x14ac:dyDescent="0.3"/>
  <cols>
    <col min="6" max="6" width="13.109375" customWidth="1"/>
    <col min="7" max="7" width="13.21875" customWidth="1"/>
    <col min="8" max="8" width="13.6640625" customWidth="1"/>
    <col min="9" max="9" width="13" customWidth="1"/>
  </cols>
  <sheetData>
    <row r="1" spans="1:9" x14ac:dyDescent="0.3">
      <c r="A1" s="1" t="s">
        <v>0</v>
      </c>
      <c r="B1" s="2">
        <v>0.15</v>
      </c>
      <c r="C1" s="3"/>
      <c r="D1" s="3"/>
      <c r="E1" s="3"/>
      <c r="F1" s="3"/>
      <c r="G1" s="3"/>
      <c r="H1" s="3"/>
      <c r="I1" s="3"/>
    </row>
    <row r="2" spans="1:9" x14ac:dyDescent="0.3">
      <c r="A2" s="3"/>
      <c r="B2" s="3"/>
      <c r="C2" s="3"/>
      <c r="D2" s="3"/>
      <c r="E2" s="3"/>
      <c r="F2" s="3"/>
      <c r="G2" s="3"/>
      <c r="H2" s="3"/>
      <c r="I2" s="3"/>
    </row>
    <row r="3" spans="1:9" ht="55.2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4" t="s">
        <v>6</v>
      </c>
      <c r="G3" s="5" t="s">
        <v>7</v>
      </c>
      <c r="H3" s="6" t="s">
        <v>8</v>
      </c>
      <c r="I3" s="27" t="s">
        <v>17</v>
      </c>
    </row>
    <row r="4" spans="1:9" x14ac:dyDescent="0.3">
      <c r="A4" s="7">
        <v>0</v>
      </c>
      <c r="B4" s="8">
        <v>130000</v>
      </c>
      <c r="C4" s="8">
        <v>0</v>
      </c>
      <c r="D4" s="8"/>
      <c r="E4" s="8"/>
      <c r="F4" s="9"/>
      <c r="G4" s="10">
        <f>B4</f>
        <v>130000</v>
      </c>
      <c r="H4" s="11">
        <f>-G4+F4</f>
        <v>-130000</v>
      </c>
      <c r="I4" s="12">
        <f>H4</f>
        <v>-130000</v>
      </c>
    </row>
    <row r="5" spans="1:9" x14ac:dyDescent="0.3">
      <c r="A5" s="7">
        <v>1</v>
      </c>
      <c r="B5" s="8">
        <v>0</v>
      </c>
      <c r="C5" s="8">
        <v>-25000</v>
      </c>
      <c r="D5" s="8">
        <v>50000</v>
      </c>
      <c r="E5" s="8">
        <f t="shared" ref="E5:E14" si="0">D5+C5</f>
        <v>25000</v>
      </c>
      <c r="F5" s="9">
        <f>E5/(1+$B$1)^$A5</f>
        <v>21739.130434782612</v>
      </c>
      <c r="G5" s="10">
        <f>B5/(1+$B$1)^$A5</f>
        <v>0</v>
      </c>
      <c r="H5" s="11">
        <f>-G5+F5</f>
        <v>21739.130434782612</v>
      </c>
      <c r="I5" s="12">
        <f>H5+I4</f>
        <v>-108260.86956521739</v>
      </c>
    </row>
    <row r="6" spans="1:9" x14ac:dyDescent="0.3">
      <c r="A6" s="7">
        <v>2</v>
      </c>
      <c r="B6" s="8">
        <v>0</v>
      </c>
      <c r="C6" s="8">
        <v>-25000</v>
      </c>
      <c r="D6" s="8">
        <v>50000</v>
      </c>
      <c r="E6" s="8">
        <f t="shared" si="0"/>
        <v>25000</v>
      </c>
      <c r="F6" s="9">
        <f>E6/(1+$B$1)^$A6</f>
        <v>18903.591682419661</v>
      </c>
      <c r="G6" s="10">
        <f t="shared" ref="G6:G14" si="1">B6/(1+$B$1)^$A6</f>
        <v>0</v>
      </c>
      <c r="H6" s="11">
        <f t="shared" ref="H6:H14" si="2">-G6+F6</f>
        <v>18903.591682419661</v>
      </c>
      <c r="I6" s="12">
        <f t="shared" ref="I6:I14" si="3">H6+I5</f>
        <v>-89357.277882797731</v>
      </c>
    </row>
    <row r="7" spans="1:9" x14ac:dyDescent="0.3">
      <c r="A7" s="7">
        <v>3</v>
      </c>
      <c r="B7" s="8">
        <v>50000</v>
      </c>
      <c r="C7" s="8">
        <v>-25000</v>
      </c>
      <c r="D7" s="8">
        <v>100000</v>
      </c>
      <c r="E7" s="8">
        <f t="shared" si="0"/>
        <v>75000</v>
      </c>
      <c r="F7" s="9">
        <f t="shared" ref="F7:F14" si="4">E7/(1+$B$1)^$A7</f>
        <v>49313.717432399128</v>
      </c>
      <c r="G7" s="10">
        <f>B7/(1+$B$1)^$A7</f>
        <v>32875.811621599416</v>
      </c>
      <c r="H7" s="11">
        <f t="shared" si="2"/>
        <v>16437.905810799712</v>
      </c>
      <c r="I7" s="12">
        <f t="shared" si="3"/>
        <v>-72919.372071998019</v>
      </c>
    </row>
    <row r="8" spans="1:9" x14ac:dyDescent="0.3">
      <c r="A8" s="7">
        <v>4</v>
      </c>
      <c r="B8" s="8"/>
      <c r="C8" s="8">
        <v>-25000</v>
      </c>
      <c r="D8" s="8">
        <v>50000</v>
      </c>
      <c r="E8" s="8">
        <f t="shared" si="0"/>
        <v>25000</v>
      </c>
      <c r="F8" s="9">
        <f t="shared" si="4"/>
        <v>14293.831139825834</v>
      </c>
      <c r="G8" s="10">
        <f t="shared" si="1"/>
        <v>0</v>
      </c>
      <c r="H8" s="11">
        <f t="shared" si="2"/>
        <v>14293.831139825834</v>
      </c>
      <c r="I8" s="12">
        <f t="shared" si="3"/>
        <v>-58625.540932172182</v>
      </c>
    </row>
    <row r="9" spans="1:9" x14ac:dyDescent="0.3">
      <c r="A9" s="7">
        <v>5</v>
      </c>
      <c r="B9" s="8"/>
      <c r="C9" s="8">
        <v>-25000</v>
      </c>
      <c r="D9" s="8">
        <v>50000</v>
      </c>
      <c r="E9" s="8">
        <f t="shared" si="0"/>
        <v>25000</v>
      </c>
      <c r="F9" s="9">
        <f t="shared" si="4"/>
        <v>12429.418382457246</v>
      </c>
      <c r="G9" s="10">
        <f t="shared" si="1"/>
        <v>0</v>
      </c>
      <c r="H9" s="11">
        <f t="shared" si="2"/>
        <v>12429.418382457246</v>
      </c>
      <c r="I9" s="12">
        <f t="shared" si="3"/>
        <v>-46196.122549714935</v>
      </c>
    </row>
    <row r="10" spans="1:9" x14ac:dyDescent="0.3">
      <c r="A10" s="7">
        <v>6</v>
      </c>
      <c r="B10" s="8"/>
      <c r="C10" s="8">
        <v>-25000</v>
      </c>
      <c r="D10" s="8">
        <v>100000</v>
      </c>
      <c r="E10" s="8">
        <f t="shared" si="0"/>
        <v>75000</v>
      </c>
      <c r="F10" s="9">
        <f t="shared" si="4"/>
        <v>32424.569693366735</v>
      </c>
      <c r="G10" s="10">
        <f t="shared" si="1"/>
        <v>0</v>
      </c>
      <c r="H10" s="11">
        <f t="shared" si="2"/>
        <v>32424.569693366735</v>
      </c>
      <c r="I10" s="12">
        <f t="shared" si="3"/>
        <v>-13771.5528563482</v>
      </c>
    </row>
    <row r="11" spans="1:9" x14ac:dyDescent="0.3">
      <c r="A11" s="7">
        <v>7</v>
      </c>
      <c r="B11" s="8">
        <v>70000</v>
      </c>
      <c r="C11" s="8">
        <v>-25000</v>
      </c>
      <c r="D11" s="8">
        <v>50000</v>
      </c>
      <c r="E11" s="8">
        <f t="shared" si="0"/>
        <v>25000</v>
      </c>
      <c r="F11" s="9">
        <f t="shared" si="4"/>
        <v>9398.4259980773168</v>
      </c>
      <c r="G11" s="10">
        <f t="shared" si="1"/>
        <v>26315.592794616488</v>
      </c>
      <c r="H11" s="11">
        <f t="shared" si="2"/>
        <v>-16917.166796539172</v>
      </c>
      <c r="I11" s="12">
        <f t="shared" si="3"/>
        <v>-30688.719652887372</v>
      </c>
    </row>
    <row r="12" spans="1:9" x14ac:dyDescent="0.3">
      <c r="A12" s="7">
        <v>8</v>
      </c>
      <c r="B12" s="8"/>
      <c r="C12" s="8">
        <v>-25000</v>
      </c>
      <c r="D12" s="8">
        <v>50000</v>
      </c>
      <c r="E12" s="8">
        <f t="shared" si="0"/>
        <v>25000</v>
      </c>
      <c r="F12" s="9">
        <f t="shared" si="4"/>
        <v>8172.544346154189</v>
      </c>
      <c r="G12" s="10">
        <f t="shared" si="1"/>
        <v>0</v>
      </c>
      <c r="H12" s="11">
        <f t="shared" si="2"/>
        <v>8172.544346154189</v>
      </c>
      <c r="I12" s="12">
        <f t="shared" si="3"/>
        <v>-22516.175306733181</v>
      </c>
    </row>
    <row r="13" spans="1:9" x14ac:dyDescent="0.3">
      <c r="A13" s="7">
        <v>9</v>
      </c>
      <c r="B13" s="8"/>
      <c r="C13" s="8">
        <v>-25000</v>
      </c>
      <c r="D13" s="8">
        <v>100000</v>
      </c>
      <c r="E13" s="8">
        <f t="shared" si="0"/>
        <v>75000</v>
      </c>
      <c r="F13" s="9">
        <f t="shared" si="4"/>
        <v>21319.680903010929</v>
      </c>
      <c r="G13" s="10">
        <f t="shared" si="1"/>
        <v>0</v>
      </c>
      <c r="H13" s="11">
        <f t="shared" si="2"/>
        <v>21319.680903010929</v>
      </c>
      <c r="I13" s="12">
        <f t="shared" si="3"/>
        <v>-1196.4944037222522</v>
      </c>
    </row>
    <row r="14" spans="1:9" x14ac:dyDescent="0.3">
      <c r="A14" s="7">
        <v>10</v>
      </c>
      <c r="B14" s="8">
        <v>10000</v>
      </c>
      <c r="C14" s="8">
        <v>-25000</v>
      </c>
      <c r="D14" s="8">
        <v>50000</v>
      </c>
      <c r="E14" s="8">
        <f t="shared" si="0"/>
        <v>25000</v>
      </c>
      <c r="F14" s="9">
        <f t="shared" si="4"/>
        <v>6179.6176530466464</v>
      </c>
      <c r="G14" s="10">
        <f t="shared" si="1"/>
        <v>2471.8470612186588</v>
      </c>
      <c r="H14" s="11">
        <f t="shared" si="2"/>
        <v>3707.7705918279876</v>
      </c>
      <c r="I14" s="12">
        <f t="shared" si="3"/>
        <v>2511.2761881057354</v>
      </c>
    </row>
    <row r="15" spans="1:9" x14ac:dyDescent="0.3">
      <c r="A15" s="3"/>
      <c r="B15" s="3"/>
      <c r="C15" s="3"/>
      <c r="D15" s="3"/>
      <c r="E15" s="3"/>
      <c r="F15" s="12"/>
      <c r="G15" s="3"/>
      <c r="H15" s="3"/>
      <c r="I15" s="3"/>
    </row>
    <row r="16" spans="1:9" x14ac:dyDescent="0.3">
      <c r="A16" s="3"/>
      <c r="B16" s="3"/>
      <c r="C16" s="13" t="s">
        <v>9</v>
      </c>
      <c r="D16" s="13"/>
      <c r="E16" s="13"/>
      <c r="F16" s="14">
        <f>SUM(F5:F14)</f>
        <v>194174.52766554031</v>
      </c>
      <c r="G16" s="3"/>
      <c r="H16" s="12"/>
      <c r="I16" s="3"/>
    </row>
    <row r="17" spans="1:9" x14ac:dyDescent="0.3">
      <c r="A17" s="3"/>
      <c r="B17" s="3"/>
      <c r="C17" s="15" t="s">
        <v>10</v>
      </c>
      <c r="D17" s="15"/>
      <c r="E17" s="15"/>
      <c r="F17" s="15"/>
      <c r="G17" s="16">
        <f>SUM(G4:G14)</f>
        <v>191663.25147743456</v>
      </c>
      <c r="H17" s="3"/>
      <c r="I17" s="3"/>
    </row>
    <row r="18" spans="1:9" x14ac:dyDescent="0.3">
      <c r="A18" s="3"/>
      <c r="B18" s="3"/>
      <c r="C18" s="17" t="s">
        <v>11</v>
      </c>
      <c r="D18" s="17"/>
      <c r="E18" s="17"/>
      <c r="F18" s="17"/>
      <c r="G18" s="18"/>
      <c r="H18" s="18">
        <f>SUM(H4:H14)</f>
        <v>2511.2761881057354</v>
      </c>
      <c r="I18" s="3"/>
    </row>
    <row r="19" spans="1:9" x14ac:dyDescent="0.3">
      <c r="A19" s="3"/>
      <c r="B19" s="3"/>
      <c r="C19" s="3"/>
      <c r="D19" s="3"/>
      <c r="E19" s="3"/>
      <c r="F19" s="3"/>
      <c r="G19" s="3"/>
      <c r="H19" s="3"/>
      <c r="I19" s="3"/>
    </row>
    <row r="20" spans="1:9" x14ac:dyDescent="0.3">
      <c r="A20" s="3"/>
      <c r="B20" s="3"/>
      <c r="C20" s="3"/>
      <c r="D20" s="3"/>
      <c r="E20" s="3"/>
      <c r="F20" s="17" t="s">
        <v>12</v>
      </c>
      <c r="G20" s="19"/>
      <c r="H20" s="20">
        <f>H18/G17</f>
        <v>1.3102544012728491E-2</v>
      </c>
      <c r="I20" s="3"/>
    </row>
    <row r="21" spans="1:9" x14ac:dyDescent="0.3">
      <c r="A21" s="3"/>
      <c r="B21" s="3"/>
      <c r="C21" s="3"/>
      <c r="D21" s="21"/>
      <c r="E21" s="3"/>
      <c r="F21" s="3"/>
      <c r="G21" s="3"/>
      <c r="H21" s="3"/>
      <c r="I21" s="3"/>
    </row>
    <row r="22" spans="1:9" ht="15.6" x14ac:dyDescent="0.3">
      <c r="A22" s="3"/>
      <c r="B22" s="3"/>
      <c r="C22" s="22"/>
      <c r="D22" s="23"/>
      <c r="E22" s="22"/>
      <c r="F22" s="3"/>
      <c r="G22" s="24"/>
      <c r="H22" s="24"/>
      <c r="I22" s="24"/>
    </row>
    <row r="23" spans="1:9" ht="15.6" x14ac:dyDescent="0.3">
      <c r="A23" s="3"/>
      <c r="B23" s="3"/>
      <c r="C23" s="22"/>
      <c r="D23" s="23"/>
      <c r="E23" s="22"/>
      <c r="F23" s="3"/>
      <c r="G23" s="25" t="s">
        <v>13</v>
      </c>
      <c r="H23" s="26">
        <v>0.1</v>
      </c>
      <c r="I23" s="24"/>
    </row>
    <row r="24" spans="1:9" ht="15.6" x14ac:dyDescent="0.3">
      <c r="A24" s="3"/>
      <c r="B24" s="3"/>
      <c r="C24" s="3"/>
      <c r="D24" s="3"/>
      <c r="E24" s="3"/>
      <c r="F24" s="3"/>
      <c r="G24" s="25" t="s">
        <v>14</v>
      </c>
      <c r="H24" s="24">
        <v>6299</v>
      </c>
      <c r="I24" s="24"/>
    </row>
    <row r="25" spans="1:9" ht="15.6" x14ac:dyDescent="0.3">
      <c r="A25" s="3"/>
      <c r="B25" s="3"/>
      <c r="C25" s="3"/>
      <c r="D25" s="3"/>
      <c r="E25" s="3"/>
      <c r="F25" s="3"/>
      <c r="G25" s="25"/>
      <c r="H25" s="24"/>
      <c r="I25" s="24"/>
    </row>
    <row r="26" spans="1:9" ht="15.6" x14ac:dyDescent="0.3">
      <c r="A26" s="3"/>
      <c r="B26" s="3"/>
      <c r="C26" s="3"/>
      <c r="D26" s="3"/>
      <c r="E26" s="3"/>
      <c r="F26" s="3"/>
      <c r="G26" s="25" t="s">
        <v>15</v>
      </c>
      <c r="H26" s="26">
        <v>0.15</v>
      </c>
      <c r="I26" s="24"/>
    </row>
    <row r="27" spans="1:9" ht="15.6" x14ac:dyDescent="0.3">
      <c r="A27" s="3"/>
      <c r="B27" s="3"/>
      <c r="C27" s="3"/>
      <c r="D27" s="3"/>
      <c r="E27" s="3"/>
      <c r="F27" s="3"/>
      <c r="G27" s="25" t="s">
        <v>16</v>
      </c>
      <c r="H27" s="24">
        <v>-11949</v>
      </c>
      <c r="I27" s="24"/>
    </row>
    <row r="28" spans="1:9" x14ac:dyDescent="0.3">
      <c r="A28" s="3"/>
      <c r="B28" s="3"/>
      <c r="C28" s="3"/>
      <c r="D28" s="3"/>
      <c r="E28" s="3"/>
      <c r="F28" s="3"/>
      <c r="G28" s="3"/>
      <c r="H28" s="3"/>
      <c r="I28" s="3"/>
    </row>
    <row r="29" spans="1:9" x14ac:dyDescent="0.3">
      <c r="A29" s="3"/>
      <c r="B29" s="3"/>
      <c r="C29" s="3"/>
      <c r="D29" s="3"/>
      <c r="E29" s="3"/>
      <c r="F29" s="3"/>
      <c r="G29" s="3"/>
      <c r="H29" s="3"/>
      <c r="I29" s="3"/>
    </row>
    <row r="30" spans="1:9" x14ac:dyDescent="0.3">
      <c r="G30" t="s">
        <v>18</v>
      </c>
      <c r="H30" s="28">
        <f>H23+(H26-H23)*(H24/(H24-H27))</f>
        <v>0.11725942569048663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Abreu</dc:creator>
  <cp:lastModifiedBy>Diogo Manuel Pereira Abreu</cp:lastModifiedBy>
  <dcterms:created xsi:type="dcterms:W3CDTF">2015-06-05T18:19:34Z</dcterms:created>
  <dcterms:modified xsi:type="dcterms:W3CDTF">2024-11-21T11:45:40Z</dcterms:modified>
</cp:coreProperties>
</file>